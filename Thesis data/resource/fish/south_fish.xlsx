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fish\"/>
    </mc:Choice>
  </mc:AlternateContent>
  <xr:revisionPtr revIDLastSave="0" documentId="13_ncr:1_{CC2586FD-1531-4536-9084-B6A029FDCBE8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統計表" sheetId="1" r:id="rId1"/>
  </sheets>
  <calcPr calcId="18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C2" i="1"/>
  <c r="D6" i="1" s="1"/>
  <c r="D8" i="1" l="1"/>
  <c r="D4" i="1"/>
  <c r="D12" i="1"/>
  <c r="D10" i="1"/>
  <c r="D11" i="1"/>
  <c r="D13" i="1"/>
  <c r="D7" i="1"/>
  <c r="D3" i="1"/>
  <c r="D5" i="1"/>
  <c r="D14" i="1"/>
  <c r="D9" i="1"/>
  <c r="D2" i="1"/>
</calcChain>
</file>

<file path=xl/sharedStrings.xml><?xml version="1.0" encoding="utf-8"?>
<sst xmlns="http://schemas.openxmlformats.org/spreadsheetml/2006/main" count="5" uniqueCount="5">
  <si>
    <t>年</t>
    <phoneticPr fontId="3" type="noConversion"/>
  </si>
  <si>
    <t>養殖總量</t>
    <phoneticPr fontId="3" type="noConversion"/>
  </si>
  <si>
    <t>平均</t>
  </si>
  <si>
    <t>長期差異</t>
  </si>
  <si>
    <t>上一年差異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</si>
</sst>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00&quot; &quot;"/>
    <numFmt numFmtId="177" formatCode="&quot;  &quot;#,##0.00&quot; &quot;;&quot;  -&quot;#,##0.00&quot; &quot;;&quot;  &quot;&quot;- &quot;;&quot; &quot;@&quot; &quot;"/>
    <numFmt numFmtId="178" formatCode="&quot;  &quot;#,##0&quot; &quot;;&quot;  -&quot;#,##0&quot; &quot;;&quot;  &quot;&quot;- &quot;;&quot; &quot;@&quot; &quot;"/>
    <numFmt numFmtId="179" formatCode="&quot; &quot;&quot;NT$ &quot;#,##0.00&quot; &quot;;&quot; &quot;&quot;NT$ -&quot;#,##0.00&quot; &quot;;&quot; &quot;&quot;NT$ &quot;&quot;- &quot;;&quot; &quot;@&quot; &quot;"/>
    <numFmt numFmtId="180" formatCode="&quot; &quot;&quot;NT$ &quot;#,##0&quot; &quot;;&quot; &quot;&quot;NT$ -&quot;#,##0&quot; &quot;;&quot; &quot;&quot;NT$ &quot;&quot;- &quot;;&quot; &quot;@&quot; &quot;"/>
    <numFmt numFmtId="181" formatCode="0.000%"/>
  </numFmts>
  <fonts count="6" x14ac:knownFonts="1">
    <font>
      <sz val="10"/>
      <color rgb="FF000000"/>
      <name val="Arial"/>
      <family val="2"/>
    </font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ont="1" applyBorder="1" applyAlignment="1">
      <alignment horizontal="left" vertical="top"/>
    </xf>
    <xf numFmtId="176" fontId="0" fillId="0" borderId="2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181" fontId="5" fillId="0" borderId="0" xfId="1" applyNumberFormat="1" applyFont="1" applyAlignment="1">
      <alignment horizontal="center"/>
    </xf>
    <xf numFmtId="0" fontId="0" fillId="0" borderId="0" xfId="0" applyAlignment="1"/>
    <xf numFmtId="181" fontId="0" fillId="0" borderId="0" xfId="1" applyNumberFormat="1" applyFont="1" applyAlignment="1"/>
  </cellXfs>
  <cellStyles count="7">
    <cellStyle name="Comma" xfId="2" xr:uid="{00000000-0005-0000-0000-000000000000}"/>
    <cellStyle name="Comma [0]" xfId="3" xr:uid="{00000000-0005-0000-0000-000001000000}"/>
    <cellStyle name="Currency" xfId="4" xr:uid="{00000000-0005-0000-0000-000002000000}"/>
    <cellStyle name="Currency [0]" xfId="5" xr:uid="{00000000-0005-0000-0000-000003000000}"/>
    <cellStyle name="Percent" xfId="6" xr:uid="{00000000-0005-0000-0000-000004000000}"/>
    <cellStyle name="一般" xfId="0" builtinId="0" customBuiltin="1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恆春之內陸養殖魚業產量</a:t>
            </a:r>
            <a:r>
              <a:rPr lang="zh-TW" altLang="en-US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年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資料</a:t>
            </a:r>
            <a:endParaRPr lang="zh-TW" altLang="en-US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統計表!$A$2:$A$14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統計表!$B$2:$B$14</c:f>
              <c:numCache>
                <c:formatCode>#,##0.0000" "</c:formatCode>
                <c:ptCount val="13"/>
                <c:pt idx="0">
                  <c:v>38194.718999999997</c:v>
                </c:pt>
                <c:pt idx="1">
                  <c:v>42654.467499999999</c:v>
                </c:pt>
                <c:pt idx="2">
                  <c:v>39618.625999999997</c:v>
                </c:pt>
                <c:pt idx="3">
                  <c:v>32335.07</c:v>
                </c:pt>
                <c:pt idx="4">
                  <c:v>29121.826000000001</c:v>
                </c:pt>
                <c:pt idx="5">
                  <c:v>34996.538</c:v>
                </c:pt>
                <c:pt idx="6">
                  <c:v>37930.434000000001</c:v>
                </c:pt>
                <c:pt idx="7">
                  <c:v>36250.525000000001</c:v>
                </c:pt>
                <c:pt idx="8">
                  <c:v>35351.5599</c:v>
                </c:pt>
                <c:pt idx="9">
                  <c:v>31947.016299999999</c:v>
                </c:pt>
                <c:pt idx="10">
                  <c:v>29626.4735</c:v>
                </c:pt>
                <c:pt idx="11">
                  <c:v>30924.363499999999</c:v>
                </c:pt>
                <c:pt idx="12">
                  <c:v>28806.383900000001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2-4E07-BB83-92DB5F149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930688"/>
        <c:axId val="991370016"/>
      </c:scatterChart>
      <c:valAx>
        <c:axId val="1118930688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991370016"/>
        <c:crosses val="autoZero"/>
        <c:crossBetween val="midCat"/>
        <c:majorUnit val="1"/>
      </c:valAx>
      <c:valAx>
        <c:axId val="991370016"/>
        <c:scaling>
          <c:orientation val="minMax"/>
          <c:min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11893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318406</xdr:colOff>
      <xdr:row>6</xdr:row>
      <xdr:rowOff>114300</xdr:rowOff>
    </xdr:from>
    <xdr:to>
      <xdr:col>15</xdr:col>
      <xdr:colOff>440871</xdr:colOff>
      <xdr:row>24</xdr:row>
      <xdr:rowOff>16328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223A2E1-291D-46FE-A4B6-9D8AADDD8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I29" sqref="I29"/>
    </sheetView>
  </sheetViews>
  <sheetFormatPr defaultRowHeight="12.45" x14ac:dyDescent="0.3"/>
  <cols>
    <col min="1" max="2" width="12" customWidth="1"/>
    <col min="3" max="256" width="8.61328125" customWidth="1"/>
  </cols>
  <sheetData>
    <row r="1" spans="1:5" ht="15.45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</row>
    <row r="2" spans="1:5" x14ac:dyDescent="0.3">
      <c r="A2" s="1">
        <v>2012</v>
      </c>
      <c r="B2" s="2">
        <v>38194.718999999997</v>
      </c>
      <c r="C2" s="7">
        <f>AVERAGE(B2:B14)</f>
        <v>34442.92327692308</v>
      </c>
      <c r="D2" s="8">
        <f t="shared" ref="D2:D14" si="0">(B2-$C$2)/$C$2</f>
        <v>0.10892791221326553</v>
      </c>
      <c r="E2" s="8"/>
    </row>
    <row r="3" spans="1:5" x14ac:dyDescent="0.3">
      <c r="A3" s="1">
        <v>2013</v>
      </c>
      <c r="B3" s="2">
        <v>42654.467499999999</v>
      </c>
      <c r="C3" s="7"/>
      <c r="D3" s="8">
        <f t="shared" si="0"/>
        <v>0.23841019988505713</v>
      </c>
      <c r="E3" s="8">
        <f t="shared" ref="E3:E14" si="1">(B3-B2)/B2</f>
        <v>0.1167634850252466</v>
      </c>
    </row>
    <row r="4" spans="1:5" x14ac:dyDescent="0.3">
      <c r="A4" s="1">
        <v>2014</v>
      </c>
      <c r="B4" s="2">
        <v>39618.625999999997</v>
      </c>
      <c r="C4" s="7"/>
      <c r="D4" s="8">
        <f t="shared" si="0"/>
        <v>0.15026897343944848</v>
      </c>
      <c r="E4" s="8">
        <f t="shared" si="1"/>
        <v>-7.1172884762891533E-2</v>
      </c>
    </row>
    <row r="5" spans="1:5" x14ac:dyDescent="0.3">
      <c r="A5" s="1">
        <v>2015</v>
      </c>
      <c r="B5" s="2">
        <v>32335.07</v>
      </c>
      <c r="C5" s="7"/>
      <c r="D5" s="8">
        <f t="shared" si="0"/>
        <v>-6.1198443000201205E-2</v>
      </c>
      <c r="E5" s="8">
        <f t="shared" si="1"/>
        <v>-0.1838417112193643</v>
      </c>
    </row>
    <row r="6" spans="1:5" x14ac:dyDescent="0.3">
      <c r="A6" s="1">
        <v>2016</v>
      </c>
      <c r="B6" s="2">
        <v>29121.826000000001</v>
      </c>
      <c r="C6" s="7"/>
      <c r="D6" s="8">
        <f t="shared" si="0"/>
        <v>-0.15449029207367654</v>
      </c>
      <c r="E6" s="8">
        <f t="shared" si="1"/>
        <v>-9.9373342936941181E-2</v>
      </c>
    </row>
    <row r="7" spans="1:5" x14ac:dyDescent="0.3">
      <c r="A7" s="1">
        <v>2017</v>
      </c>
      <c r="B7" s="2">
        <v>34996.538</v>
      </c>
      <c r="C7" s="7"/>
      <c r="D7" s="8">
        <f t="shared" si="0"/>
        <v>1.6073395356887277E-2</v>
      </c>
      <c r="E7" s="8">
        <f t="shared" si="1"/>
        <v>0.20172883389935781</v>
      </c>
    </row>
    <row r="8" spans="1:5" x14ac:dyDescent="0.3">
      <c r="A8" s="1">
        <v>2018</v>
      </c>
      <c r="B8" s="2">
        <v>37930.434000000001</v>
      </c>
      <c r="C8" s="7"/>
      <c r="D8" s="8">
        <f t="shared" si="0"/>
        <v>0.10125478302283271</v>
      </c>
      <c r="E8" s="8">
        <f t="shared" si="1"/>
        <v>8.38338923695824E-2</v>
      </c>
    </row>
    <row r="9" spans="1:5" x14ac:dyDescent="0.3">
      <c r="A9" s="1">
        <v>2019</v>
      </c>
      <c r="B9" s="2">
        <v>36250.525000000001</v>
      </c>
      <c r="C9" s="7"/>
      <c r="D9" s="8">
        <f t="shared" si="0"/>
        <v>5.248107742027875E-2</v>
      </c>
      <c r="E9" s="8">
        <f t="shared" si="1"/>
        <v>-4.4289211138475233E-2</v>
      </c>
    </row>
    <row r="10" spans="1:5" x14ac:dyDescent="0.3">
      <c r="A10" s="1">
        <v>2020</v>
      </c>
      <c r="B10" s="2">
        <v>35351.5599</v>
      </c>
      <c r="C10" s="7"/>
      <c r="D10" s="8">
        <f t="shared" si="0"/>
        <v>2.6380937987505571E-2</v>
      </c>
      <c r="E10" s="8">
        <f t="shared" si="1"/>
        <v>-2.4798678088110482E-2</v>
      </c>
    </row>
    <row r="11" spans="1:5" x14ac:dyDescent="0.3">
      <c r="A11" s="1">
        <v>2021</v>
      </c>
      <c r="B11" s="2">
        <v>31947.016299999999</v>
      </c>
      <c r="C11" s="7"/>
      <c r="D11" s="8">
        <f t="shared" si="0"/>
        <v>-7.2465015726332099E-2</v>
      </c>
      <c r="E11" s="8">
        <f t="shared" si="1"/>
        <v>-9.6305328806721227E-2</v>
      </c>
    </row>
    <row r="12" spans="1:5" x14ac:dyDescent="0.3">
      <c r="A12" s="1">
        <v>2022</v>
      </c>
      <c r="B12" s="2">
        <v>29626.4735</v>
      </c>
      <c r="C12" s="7"/>
      <c r="D12" s="8">
        <f t="shared" si="0"/>
        <v>-0.13983858855993575</v>
      </c>
      <c r="E12" s="8">
        <f t="shared" si="1"/>
        <v>-7.2637230914111978E-2</v>
      </c>
    </row>
    <row r="13" spans="1:5" x14ac:dyDescent="0.3">
      <c r="A13" s="1">
        <v>2023</v>
      </c>
      <c r="B13" s="2">
        <v>30924.363499999999</v>
      </c>
      <c r="C13" s="7"/>
      <c r="D13" s="8">
        <f t="shared" si="0"/>
        <v>-0.10215624697804127</v>
      </c>
      <c r="E13" s="8">
        <f t="shared" si="1"/>
        <v>4.3808453949134359E-2</v>
      </c>
    </row>
    <row r="14" spans="1:5" x14ac:dyDescent="0.3">
      <c r="A14" s="1">
        <v>2024</v>
      </c>
      <c r="B14" s="2">
        <v>28806.383900000001</v>
      </c>
      <c r="C14" s="7"/>
      <c r="D14" s="8">
        <f t="shared" si="0"/>
        <v>-0.16364869298708995</v>
      </c>
      <c r="E14" s="8">
        <f t="shared" si="1"/>
        <v>-6.8489028076519631E-2</v>
      </c>
    </row>
    <row r="15" spans="1:5" x14ac:dyDescent="0.3">
      <c r="A15" s="3"/>
      <c r="B15" s="3"/>
    </row>
  </sheetData>
  <phoneticPr fontId="3" type="noConversion"/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SingYu</dc:creator>
  <cp:lastModifiedBy>鮑星瑜</cp:lastModifiedBy>
  <dcterms:created xsi:type="dcterms:W3CDTF">2025-09-05T14:24:35Z</dcterms:created>
  <dcterms:modified xsi:type="dcterms:W3CDTF">2025-10-24T12:39:48Z</dcterms:modified>
</cp:coreProperties>
</file>