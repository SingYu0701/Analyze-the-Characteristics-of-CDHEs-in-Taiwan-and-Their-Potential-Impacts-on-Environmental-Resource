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成大\資源所\SPI+HWDI\data\resource\fish\"/>
    </mc:Choice>
  </mc:AlternateContent>
  <xr:revisionPtr revIDLastSave="0" documentId="13_ncr:1_{D061644D-7B82-4126-9D22-C13597551004}" xr6:coauthVersionLast="36" xr6:coauthVersionMax="36" xr10:uidLastSave="{00000000-0000-0000-0000-000000000000}"/>
  <bookViews>
    <workbookView xWindow="0" yWindow="0" windowWidth="21943" windowHeight="8331" xr2:uid="{00000000-000D-0000-FFFF-FFFF00000000}"/>
  </bookViews>
  <sheets>
    <sheet name="統計表" sheetId="1" r:id="rId1"/>
  </sheets>
  <calcPr calcId="181029"/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3" i="1"/>
  <c r="C2" i="1"/>
  <c r="D6" i="1" s="1"/>
  <c r="D7" i="1" l="1"/>
  <c r="D8" i="1"/>
  <c r="D11" i="1"/>
  <c r="D13" i="1"/>
  <c r="D2" i="1"/>
  <c r="D3" i="1"/>
  <c r="D5" i="1"/>
  <c r="D9" i="1"/>
  <c r="D4" i="1"/>
  <c r="D12" i="1"/>
  <c r="D14" i="1"/>
  <c r="D10" i="1"/>
</calcChain>
</file>

<file path=xl/sharedStrings.xml><?xml version="1.0" encoding="utf-8"?>
<sst xmlns="http://schemas.openxmlformats.org/spreadsheetml/2006/main" count="5" uniqueCount="5">
  <si>
    <t>年</t>
    <phoneticPr fontId="3" type="noConversion"/>
  </si>
  <si>
    <t>養殖產量</t>
    <phoneticPr fontId="3" type="noConversion"/>
  </si>
  <si>
    <t>平均</t>
  </si>
  <si>
    <t>長期差異</t>
  </si>
  <si>
    <t>上一年差異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</si>
</sst>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000&quot; &quot;"/>
    <numFmt numFmtId="177" formatCode="&quot;  &quot;#,##0.00&quot; &quot;;&quot;  -&quot;#,##0.00&quot; &quot;;&quot;  &quot;&quot;- &quot;;&quot; &quot;@&quot; &quot;"/>
    <numFmt numFmtId="178" formatCode="&quot;  &quot;#,##0&quot; &quot;;&quot;  -&quot;#,##0&quot; &quot;;&quot;  &quot;&quot;- &quot;;&quot; &quot;@&quot; &quot;"/>
    <numFmt numFmtId="179" formatCode="&quot; &quot;&quot;NT$ &quot;#,##0.00&quot; &quot;;&quot; &quot;&quot;NT$ -&quot;#,##0.00&quot; &quot;;&quot; &quot;&quot;NT$ &quot;&quot;- &quot;;&quot; &quot;@&quot; &quot;"/>
    <numFmt numFmtId="180" formatCode="&quot; &quot;&quot;NT$ &quot;#,##0&quot; &quot;;&quot; &quot;&quot;NT$ -&quot;#,##0&quot; &quot;;&quot; &quot;&quot;NT$ &quot;&quot;- &quot;;&quot; &quot;@&quot; &quot;"/>
    <numFmt numFmtId="181" formatCode="0.000%"/>
  </numFmts>
  <fonts count="6" x14ac:knownFonts="1">
    <font>
      <sz val="10"/>
      <color rgb="FF000000"/>
      <name val="Arial"/>
      <family val="2"/>
    </font>
    <font>
      <sz val="12"/>
      <color theme="1"/>
      <name val="新細明體"/>
      <family val="2"/>
      <charset val="136"/>
      <scheme val="minor"/>
    </font>
    <font>
      <sz val="10"/>
      <color rgb="FF000000"/>
      <name val="Arial"/>
      <family val="2"/>
    </font>
    <font>
      <sz val="9"/>
      <name val="細明體"/>
      <family val="3"/>
      <charset val="136"/>
    </font>
    <font>
      <sz val="10"/>
      <color rgb="FF000000"/>
      <name val="細明體"/>
      <family val="3"/>
      <charset val="136"/>
    </font>
    <font>
      <b/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Font="1" applyBorder="1" applyAlignment="1">
      <alignment horizontal="left" vertical="top"/>
    </xf>
    <xf numFmtId="176" fontId="0" fillId="0" borderId="2" xfId="0" applyNumberFormat="1" applyFont="1" applyBorder="1" applyAlignment="1">
      <alignment horizontal="right" vertical="center"/>
    </xf>
    <xf numFmtId="0" fontId="0" fillId="0" borderId="3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/>
    </xf>
    <xf numFmtId="181" fontId="5" fillId="0" borderId="0" xfId="1" applyNumberFormat="1" applyFont="1" applyAlignment="1">
      <alignment horizontal="center"/>
    </xf>
    <xf numFmtId="0" fontId="0" fillId="0" borderId="0" xfId="0" applyAlignment="1"/>
    <xf numFmtId="181" fontId="0" fillId="0" borderId="0" xfId="1" applyNumberFormat="1" applyFont="1" applyAlignment="1"/>
  </cellXfs>
  <cellStyles count="7">
    <cellStyle name="Comma" xfId="2" xr:uid="{00000000-0005-0000-0000-000000000000}"/>
    <cellStyle name="Comma [0]" xfId="3" xr:uid="{00000000-0005-0000-0000-000001000000}"/>
    <cellStyle name="Currency" xfId="4" xr:uid="{00000000-0005-0000-0000-000002000000}"/>
    <cellStyle name="Currency [0]" xfId="5" xr:uid="{00000000-0005-0000-0000-000003000000}"/>
    <cellStyle name="Percent" xfId="6" xr:uid="{00000000-0005-0000-0000-000004000000}"/>
    <cellStyle name="一般" xfId="0" builtinId="0" customBuiltin="1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基隆（因基隆無漁業故以氣候條件相近之宜蘭替代</a:t>
            </a:r>
            <a:r>
              <a:rPr lang="en-US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)</a:t>
            </a: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之內陸養殖魚業產量</a:t>
            </a:r>
            <a:r>
              <a:rPr lang="zh-TW" altLang="en-US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年</a:t>
            </a: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資料</a:t>
            </a:r>
            <a:endParaRPr lang="zh-TW" altLang="en-US" sz="1200">
              <a:latin typeface="標楷體" panose="03000509000000000000" pitchFamily="65" charset="-120"/>
              <a:ea typeface="標楷體" panose="03000509000000000000" pitchFamily="65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統計表!$A$2:$A$14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xVal>
          <c:yVal>
            <c:numRef>
              <c:f>統計表!$B$2:$B$14</c:f>
              <c:numCache>
                <c:formatCode>#,##0.0000" "</c:formatCode>
                <c:ptCount val="13"/>
                <c:pt idx="0">
                  <c:v>3426.0509999999999</c:v>
                </c:pt>
                <c:pt idx="1">
                  <c:v>2887.6729999999998</c:v>
                </c:pt>
                <c:pt idx="2">
                  <c:v>3385.01</c:v>
                </c:pt>
                <c:pt idx="3">
                  <c:v>2533.34</c:v>
                </c:pt>
                <c:pt idx="4">
                  <c:v>2881.4450000000002</c:v>
                </c:pt>
                <c:pt idx="5">
                  <c:v>4017.5540000000001</c:v>
                </c:pt>
                <c:pt idx="6">
                  <c:v>2667.4630000000002</c:v>
                </c:pt>
                <c:pt idx="7">
                  <c:v>2789.5749999999998</c:v>
                </c:pt>
                <c:pt idx="8">
                  <c:v>3912.5</c:v>
                </c:pt>
                <c:pt idx="9">
                  <c:v>3098.6849999999999</c:v>
                </c:pt>
                <c:pt idx="10">
                  <c:v>2923.0007999999998</c:v>
                </c:pt>
                <c:pt idx="11">
                  <c:v>2826.65</c:v>
                </c:pt>
                <c:pt idx="12">
                  <c:v>3545.7422999999999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D9-4C07-A357-1EF154D50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682623"/>
        <c:axId val="2015416959"/>
      </c:scatterChart>
      <c:valAx>
        <c:axId val="1716682623"/>
        <c:scaling>
          <c:orientation val="minMax"/>
          <c:max val="2024"/>
          <c:min val="20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15416959"/>
        <c:crosses val="autoZero"/>
        <c:crossBetween val="midCat"/>
        <c:majorUnit val="1"/>
      </c:valAx>
      <c:valAx>
        <c:axId val="2015416959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16682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318407</xdr:colOff>
      <xdr:row>6</xdr:row>
      <xdr:rowOff>114300</xdr:rowOff>
    </xdr:from>
    <xdr:to>
      <xdr:col>14</xdr:col>
      <xdr:colOff>544287</xdr:colOff>
      <xdr:row>24</xdr:row>
      <xdr:rowOff>16328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0FA1B58-A70E-4D95-A941-F690328FD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M27" sqref="M27"/>
    </sheetView>
  </sheetViews>
  <sheetFormatPr defaultRowHeight="12.45" x14ac:dyDescent="0.3"/>
  <cols>
    <col min="1" max="2" width="12" customWidth="1"/>
    <col min="3" max="256" width="8.61328125" customWidth="1"/>
  </cols>
  <sheetData>
    <row r="1" spans="1:5" ht="15.45" x14ac:dyDescent="0.4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</row>
    <row r="2" spans="1:5" x14ac:dyDescent="0.3">
      <c r="A2" s="1">
        <v>2012</v>
      </c>
      <c r="B2" s="2">
        <v>3426.0509999999999</v>
      </c>
      <c r="C2" s="7">
        <f>AVERAGE(B2:B14)</f>
        <v>3145.7453153846154</v>
      </c>
      <c r="D2" s="8">
        <f t="shared" ref="D2:D14" si="0">(B2-$C$2)/$C$2</f>
        <v>8.9106286909025514E-2</v>
      </c>
      <c r="E2" s="8"/>
    </row>
    <row r="3" spans="1:5" x14ac:dyDescent="0.3">
      <c r="A3" s="1">
        <v>2013</v>
      </c>
      <c r="B3" s="2">
        <v>2887.6729999999998</v>
      </c>
      <c r="C3" s="7"/>
      <c r="D3" s="8">
        <f t="shared" si="0"/>
        <v>-8.20385280786987E-2</v>
      </c>
      <c r="E3" s="8">
        <f t="shared" ref="E3:E14" si="1">(B3-B2)/B2</f>
        <v>-0.15714243599993116</v>
      </c>
    </row>
    <row r="4" spans="1:5" x14ac:dyDescent="0.3">
      <c r="A4" s="1">
        <v>2014</v>
      </c>
      <c r="B4" s="2">
        <v>3385.01</v>
      </c>
      <c r="C4" s="7"/>
      <c r="D4" s="8">
        <f t="shared" si="0"/>
        <v>7.6059776182526406E-2</v>
      </c>
      <c r="E4" s="8">
        <f t="shared" si="1"/>
        <v>0.17222760333320306</v>
      </c>
    </row>
    <row r="5" spans="1:5" x14ac:dyDescent="0.3">
      <c r="A5" s="1">
        <v>2015</v>
      </c>
      <c r="B5" s="2">
        <v>2533.34</v>
      </c>
      <c r="C5" s="7"/>
      <c r="D5" s="8">
        <f t="shared" si="0"/>
        <v>-0.19467733525329572</v>
      </c>
      <c r="E5" s="8">
        <f t="shared" si="1"/>
        <v>-0.2516004384034316</v>
      </c>
    </row>
    <row r="6" spans="1:5" x14ac:dyDescent="0.3">
      <c r="A6" s="1">
        <v>2016</v>
      </c>
      <c r="B6" s="2">
        <v>2881.4450000000002</v>
      </c>
      <c r="C6" s="7"/>
      <c r="D6" s="8">
        <f t="shared" si="0"/>
        <v>-8.4018345061828537E-2</v>
      </c>
      <c r="E6" s="8">
        <f t="shared" si="1"/>
        <v>0.13740950681708733</v>
      </c>
    </row>
    <row r="7" spans="1:5" x14ac:dyDescent="0.3">
      <c r="A7" s="1">
        <v>2017</v>
      </c>
      <c r="B7" s="2">
        <v>4017.5540000000001</v>
      </c>
      <c r="C7" s="7"/>
      <c r="D7" s="8">
        <f t="shared" si="0"/>
        <v>0.27713899162519862</v>
      </c>
      <c r="E7" s="8">
        <f t="shared" si="1"/>
        <v>0.39428446491256985</v>
      </c>
    </row>
    <row r="8" spans="1:5" x14ac:dyDescent="0.3">
      <c r="A8" s="1">
        <v>2018</v>
      </c>
      <c r="B8" s="2">
        <v>2667.4630000000002</v>
      </c>
      <c r="C8" s="7"/>
      <c r="D8" s="8">
        <f t="shared" si="0"/>
        <v>-0.15204101649473103</v>
      </c>
      <c r="E8" s="8">
        <f t="shared" si="1"/>
        <v>-0.33604800333735396</v>
      </c>
    </row>
    <row r="9" spans="1:5" x14ac:dyDescent="0.3">
      <c r="A9" s="1">
        <v>2019</v>
      </c>
      <c r="B9" s="2">
        <v>2789.5749999999998</v>
      </c>
      <c r="C9" s="7"/>
      <c r="D9" s="8">
        <f t="shared" si="0"/>
        <v>-0.11322287079081872</v>
      </c>
      <c r="E9" s="8">
        <f t="shared" si="1"/>
        <v>4.5778329446368934E-2</v>
      </c>
    </row>
    <row r="10" spans="1:5" x14ac:dyDescent="0.3">
      <c r="A10" s="1">
        <v>2020</v>
      </c>
      <c r="B10" s="2">
        <v>3912.5</v>
      </c>
      <c r="C10" s="7"/>
      <c r="D10" s="8">
        <f t="shared" si="0"/>
        <v>0.24374340823635213</v>
      </c>
      <c r="E10" s="8">
        <f t="shared" si="1"/>
        <v>0.40254339818789608</v>
      </c>
    </row>
    <row r="11" spans="1:5" x14ac:dyDescent="0.3">
      <c r="A11" s="1">
        <v>2021</v>
      </c>
      <c r="B11" s="2">
        <v>3098.6849999999999</v>
      </c>
      <c r="C11" s="7"/>
      <c r="D11" s="8">
        <f t="shared" si="0"/>
        <v>-1.4959989022144227E-2</v>
      </c>
      <c r="E11" s="8">
        <f t="shared" si="1"/>
        <v>-0.2080038338658147</v>
      </c>
    </row>
    <row r="12" spans="1:5" x14ac:dyDescent="0.3">
      <c r="A12" s="1">
        <v>2022</v>
      </c>
      <c r="B12" s="2">
        <v>2923.0007999999998</v>
      </c>
      <c r="C12" s="7"/>
      <c r="D12" s="8">
        <f t="shared" si="0"/>
        <v>-7.0808184723429118E-2</v>
      </c>
      <c r="E12" s="8">
        <f t="shared" si="1"/>
        <v>-5.6696372816210795E-2</v>
      </c>
    </row>
    <row r="13" spans="1:5" x14ac:dyDescent="0.3">
      <c r="A13" s="1">
        <v>2023</v>
      </c>
      <c r="B13" s="2">
        <v>2826.65</v>
      </c>
      <c r="C13" s="7"/>
      <c r="D13" s="8">
        <f t="shared" si="0"/>
        <v>-0.10143711057091762</v>
      </c>
      <c r="E13" s="8">
        <f t="shared" si="1"/>
        <v>-3.2962974214717874E-2</v>
      </c>
    </row>
    <row r="14" spans="1:5" x14ac:dyDescent="0.3">
      <c r="A14" s="1">
        <v>2024</v>
      </c>
      <c r="B14" s="2">
        <v>3545.7422999999999</v>
      </c>
      <c r="C14" s="7"/>
      <c r="D14" s="8">
        <f t="shared" si="0"/>
        <v>0.12715491704276088</v>
      </c>
      <c r="E14" s="8">
        <f t="shared" si="1"/>
        <v>0.2543973608334954</v>
      </c>
    </row>
    <row r="15" spans="1:5" x14ac:dyDescent="0.3">
      <c r="A15" s="3"/>
      <c r="B15" s="3"/>
    </row>
  </sheetData>
  <phoneticPr fontId="3" type="noConversion"/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統計表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SingYu</dc:creator>
  <cp:lastModifiedBy>鮑星瑜</cp:lastModifiedBy>
  <dcterms:created xsi:type="dcterms:W3CDTF">2025-09-05T14:23:37Z</dcterms:created>
  <dcterms:modified xsi:type="dcterms:W3CDTF">2025-10-24T12:33:17Z</dcterms:modified>
</cp:coreProperties>
</file>