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rice\"/>
    </mc:Choice>
  </mc:AlternateContent>
  <xr:revisionPtr revIDLastSave="0" documentId="13_ncr:1_{097119E3-DCE1-4FB3-9495-66F940360F78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統計表" sheetId="1" r:id="rId1"/>
  </sheets>
  <calcPr calcId="18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C2" i="1"/>
  <c r="D6" i="1" s="1"/>
  <c r="D7" i="1" l="1"/>
  <c r="D10" i="1"/>
  <c r="D2" i="1"/>
  <c r="D3" i="1"/>
  <c r="D11" i="1"/>
  <c r="D12" i="1"/>
  <c r="D8" i="1"/>
  <c r="D4" i="1"/>
  <c r="D9" i="1"/>
  <c r="D5" i="1"/>
  <c r="D13" i="1"/>
  <c r="D14" i="1"/>
</calcChain>
</file>

<file path=xl/sharedStrings.xml><?xml version="1.0" encoding="utf-8"?>
<sst xmlns="http://schemas.openxmlformats.org/spreadsheetml/2006/main" count="5" uniqueCount="5">
  <si>
    <t>年</t>
  </si>
  <si>
    <t>稻米產量</t>
  </si>
  <si>
    <t>平均</t>
  </si>
  <si>
    <t>長期差異</t>
  </si>
  <si>
    <t>上一年差異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</si>
</sst>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0&quot; &quot;"/>
    <numFmt numFmtId="177" formatCode="&quot;  &quot;#,##0.00&quot; &quot;;&quot;  -&quot;#,##0.00&quot; &quot;;&quot;  - &quot;;&quot; &quot;@&quot; &quot;"/>
    <numFmt numFmtId="178" formatCode="&quot;  &quot;#,##0&quot; &quot;;&quot;  -&quot;#,##0&quot; &quot;;&quot;  - &quot;;&quot; &quot;@&quot; &quot;"/>
    <numFmt numFmtId="179" formatCode="&quot; NT$ &quot;#,##0.00&quot; &quot;;&quot; NT$ -&quot;#,##0.00&quot; &quot;;&quot; NT$ - &quot;;&quot; &quot;@&quot; &quot;"/>
    <numFmt numFmtId="180" formatCode="&quot; NT$ &quot;#,##0&quot; &quot;;&quot; NT$ -&quot;#,##0&quot; &quot;;&quot; NT$ - &quot;;&quot; &quot;@&quot; &quot;"/>
    <numFmt numFmtId="181" formatCode="0.000%"/>
  </numFmts>
  <fonts count="5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b/>
      <sz val="11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76" fontId="0" fillId="0" borderId="2" xfId="0" applyNumberFormat="1" applyBorder="1" applyAlignment="1">
      <alignment horizontal="right" vertical="center"/>
    </xf>
    <xf numFmtId="0" fontId="0" fillId="0" borderId="0" xfId="0" applyAlignment="1"/>
    <xf numFmtId="0" fontId="0" fillId="0" borderId="3" xfId="0" applyBorder="1" applyAlignment="1">
      <alignment horizontal="left" vertical="center" wrapText="1"/>
    </xf>
    <xf numFmtId="181" fontId="3" fillId="0" borderId="0" xfId="1" applyNumberFormat="1" applyFont="1" applyAlignment="1">
      <alignment horizontal="center"/>
    </xf>
    <xf numFmtId="181" fontId="0" fillId="0" borderId="0" xfId="1" applyNumberFormat="1" applyFont="1" applyAlignment="1"/>
    <xf numFmtId="181" fontId="0" fillId="0" borderId="0" xfId="1" applyNumberFormat="1" applyFont="1">
      <alignment vertical="center"/>
    </xf>
  </cellXfs>
  <cellStyles count="7">
    <cellStyle name="Comma" xfId="2" xr:uid="{00000000-0005-0000-0000-000000000000}"/>
    <cellStyle name="Comma [0]" xfId="3" xr:uid="{00000000-0005-0000-0000-000001000000}"/>
    <cellStyle name="Currency" xfId="4" xr:uid="{00000000-0005-0000-0000-000002000000}"/>
    <cellStyle name="Currency [0]" xfId="5" xr:uid="{00000000-0005-0000-0000-000003000000}"/>
    <cellStyle name="Percent" xfId="6" xr:uid="{00000000-0005-0000-0000-000004000000}"/>
    <cellStyle name="一般" xfId="0" builtinId="0" customBuiltin="1"/>
    <cellStyle name="百分比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基隆（因基隆無農業故以氣候條件相近之宜蘭替代</a:t>
            </a:r>
            <a:r>
              <a:rPr lang="en-US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)</a:t>
            </a: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之稻米產</a:t>
            </a:r>
            <a:r>
              <a:rPr lang="zh-TW" altLang="en-US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值年</a:t>
            </a: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資料</a:t>
            </a:r>
            <a:endParaRPr lang="zh-TW" altLang="en-US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統計表!$A$2:$A$14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統計表!$B$2:$B$14</c:f>
              <c:numCache>
                <c:formatCode>#,##0.000" "</c:formatCode>
                <c:ptCount val="13"/>
                <c:pt idx="0">
                  <c:v>1433774</c:v>
                </c:pt>
                <c:pt idx="1">
                  <c:v>1560217</c:v>
                </c:pt>
                <c:pt idx="2">
                  <c:v>1656120</c:v>
                </c:pt>
                <c:pt idx="3">
                  <c:v>1720001</c:v>
                </c:pt>
                <c:pt idx="4">
                  <c:v>1622894</c:v>
                </c:pt>
                <c:pt idx="5">
                  <c:v>1610545</c:v>
                </c:pt>
                <c:pt idx="6">
                  <c:v>1648226</c:v>
                </c:pt>
                <c:pt idx="7">
                  <c:v>1514934</c:v>
                </c:pt>
                <c:pt idx="8">
                  <c:v>1606208</c:v>
                </c:pt>
                <c:pt idx="9">
                  <c:v>1667315</c:v>
                </c:pt>
                <c:pt idx="10">
                  <c:v>1586565.871</c:v>
                </c:pt>
                <c:pt idx="11">
                  <c:v>1725284.1059999999</c:v>
                </c:pt>
                <c:pt idx="12">
                  <c:v>1760447.371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E-4B91-9763-5A364CF2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630799"/>
        <c:axId val="1777288783"/>
      </c:scatterChart>
      <c:valAx>
        <c:axId val="1778630799"/>
        <c:scaling>
          <c:orientation val="minMax"/>
          <c:max val="2024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77288783"/>
        <c:crosses val="autoZero"/>
        <c:crossBetween val="midCat"/>
        <c:majorUnit val="1"/>
      </c:valAx>
      <c:valAx>
        <c:axId val="1777288783"/>
        <c:scaling>
          <c:orientation val="minMax"/>
          <c:min val="1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7863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258535</xdr:colOff>
      <xdr:row>6</xdr:row>
      <xdr:rowOff>114300</xdr:rowOff>
    </xdr:from>
    <xdr:to>
      <xdr:col>12</xdr:col>
      <xdr:colOff>563335</xdr:colOff>
      <xdr:row>24</xdr:row>
      <xdr:rowOff>16328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9911062-D9EA-47E8-A907-AA4FBF426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29" sqref="H29"/>
    </sheetView>
  </sheetViews>
  <sheetFormatPr defaultRowHeight="12.45" x14ac:dyDescent="0.3"/>
  <cols>
    <col min="1" max="1" width="12" customWidth="1"/>
    <col min="2" max="2" width="19.3828125" customWidth="1"/>
    <col min="3" max="3" width="8.61328125" customWidth="1"/>
    <col min="4" max="4" width="10.69140625" style="9" customWidth="1"/>
    <col min="5" max="5" width="8.61328125" style="9" customWidth="1"/>
    <col min="6" max="256" width="8.61328125" customWidth="1"/>
    <col min="257" max="257" width="9.23046875" customWidth="1"/>
  </cols>
  <sheetData>
    <row r="1" spans="1:5" ht="15.45" x14ac:dyDescent="0.4">
      <c r="A1" s="1" t="s">
        <v>0</v>
      </c>
      <c r="B1" s="1" t="s">
        <v>1</v>
      </c>
      <c r="C1" s="2" t="s">
        <v>2</v>
      </c>
      <c r="D1" s="7" t="s">
        <v>3</v>
      </c>
      <c r="E1" s="7" t="s">
        <v>4</v>
      </c>
    </row>
    <row r="2" spans="1:5" x14ac:dyDescent="0.3">
      <c r="A2" s="3">
        <v>2012</v>
      </c>
      <c r="B2" s="4">
        <v>1433774</v>
      </c>
      <c r="C2" s="5">
        <f>AVERAGE(B2:B14)</f>
        <v>1624040.8729230766</v>
      </c>
      <c r="D2" s="8">
        <f t="shared" ref="D2:D14" si="0">(B2-$C$2)/$C$2</f>
        <v>-0.11715645590903098</v>
      </c>
      <c r="E2" s="8"/>
    </row>
    <row r="3" spans="1:5" x14ac:dyDescent="0.3">
      <c r="A3" s="3">
        <v>2013</v>
      </c>
      <c r="B3" s="4">
        <v>1560217</v>
      </c>
      <c r="C3" s="5"/>
      <c r="D3" s="8">
        <f t="shared" si="0"/>
        <v>-3.9299425271361176E-2</v>
      </c>
      <c r="E3" s="8">
        <f t="shared" ref="E3:E14" si="1">(B3-B2)/B2</f>
        <v>8.8188933541827372E-2</v>
      </c>
    </row>
    <row r="4" spans="1:5" x14ac:dyDescent="0.3">
      <c r="A4" s="3">
        <v>2014</v>
      </c>
      <c r="B4" s="4">
        <v>1656120</v>
      </c>
      <c r="C4" s="5"/>
      <c r="D4" s="8">
        <f t="shared" si="0"/>
        <v>1.9752659931018143E-2</v>
      </c>
      <c r="E4" s="8">
        <f t="shared" si="1"/>
        <v>6.1467731732188537E-2</v>
      </c>
    </row>
    <row r="5" spans="1:5" x14ac:dyDescent="0.3">
      <c r="A5" s="3">
        <v>2015</v>
      </c>
      <c r="B5" s="4">
        <v>1720001</v>
      </c>
      <c r="C5" s="5"/>
      <c r="D5" s="8">
        <f t="shared" si="0"/>
        <v>5.9087261088575184E-2</v>
      </c>
      <c r="E5" s="8">
        <f t="shared" si="1"/>
        <v>3.8572687969470811E-2</v>
      </c>
    </row>
    <row r="6" spans="1:5" x14ac:dyDescent="0.3">
      <c r="A6" s="3">
        <v>2016</v>
      </c>
      <c r="B6" s="4">
        <v>1622894</v>
      </c>
      <c r="C6" s="5"/>
      <c r="D6" s="8">
        <f t="shared" si="0"/>
        <v>-7.0618476554249908E-4</v>
      </c>
      <c r="E6" s="8">
        <f t="shared" si="1"/>
        <v>-5.6457525315392255E-2</v>
      </c>
    </row>
    <row r="7" spans="1:5" x14ac:dyDescent="0.3">
      <c r="A7" s="3">
        <v>2017</v>
      </c>
      <c r="B7" s="4">
        <v>1610545</v>
      </c>
      <c r="C7" s="5"/>
      <c r="D7" s="8">
        <f t="shared" si="0"/>
        <v>-8.3100574302577019E-3</v>
      </c>
      <c r="E7" s="8">
        <f t="shared" si="1"/>
        <v>-7.6092461984578171E-3</v>
      </c>
    </row>
    <row r="8" spans="1:5" x14ac:dyDescent="0.3">
      <c r="A8" s="3">
        <v>2018</v>
      </c>
      <c r="B8" s="4">
        <v>1648226</v>
      </c>
      <c r="C8" s="5"/>
      <c r="D8" s="8">
        <f t="shared" si="0"/>
        <v>1.4891944827344824E-2</v>
      </c>
      <c r="E8" s="8">
        <f t="shared" si="1"/>
        <v>2.3396427917257823E-2</v>
      </c>
    </row>
    <row r="9" spans="1:5" x14ac:dyDescent="0.3">
      <c r="A9" s="3">
        <v>2019</v>
      </c>
      <c r="B9" s="4">
        <v>1514934</v>
      </c>
      <c r="C9" s="5"/>
      <c r="D9" s="8">
        <f t="shared" si="0"/>
        <v>-6.7182344202148969E-2</v>
      </c>
      <c r="E9" s="8">
        <f t="shared" si="1"/>
        <v>-8.0869977782173072E-2</v>
      </c>
    </row>
    <row r="10" spans="1:5" x14ac:dyDescent="0.3">
      <c r="A10" s="3">
        <v>2020</v>
      </c>
      <c r="B10" s="4">
        <v>1606208</v>
      </c>
      <c r="C10" s="5"/>
      <c r="D10" s="8">
        <f t="shared" si="0"/>
        <v>-1.098055672144483E-2</v>
      </c>
      <c r="E10" s="8">
        <f t="shared" si="1"/>
        <v>6.0249489416700663E-2</v>
      </c>
    </row>
    <row r="11" spans="1:5" x14ac:dyDescent="0.3">
      <c r="A11" s="3">
        <v>2021</v>
      </c>
      <c r="B11" s="4">
        <v>1667315</v>
      </c>
      <c r="C11" s="5"/>
      <c r="D11" s="8">
        <f t="shared" si="0"/>
        <v>2.6645959346475807E-2</v>
      </c>
      <c r="E11" s="8">
        <f t="shared" si="1"/>
        <v>3.8044263258556803E-2</v>
      </c>
    </row>
    <row r="12" spans="1:5" x14ac:dyDescent="0.3">
      <c r="A12" s="3">
        <v>2022</v>
      </c>
      <c r="B12" s="4">
        <v>1586565.871</v>
      </c>
      <c r="C12" s="5"/>
      <c r="D12" s="8">
        <f t="shared" si="0"/>
        <v>-2.3075159343512161E-2</v>
      </c>
      <c r="E12" s="8">
        <f t="shared" si="1"/>
        <v>-4.8430637881863928E-2</v>
      </c>
    </row>
    <row r="13" spans="1:5" x14ac:dyDescent="0.3">
      <c r="A13" s="3">
        <v>2023</v>
      </c>
      <c r="B13" s="4">
        <v>1725284.1059999999</v>
      </c>
      <c r="C13" s="5"/>
      <c r="D13" s="8">
        <f t="shared" si="0"/>
        <v>6.2340323303992806E-2</v>
      </c>
      <c r="E13" s="8">
        <f t="shared" si="1"/>
        <v>8.7433013362733472E-2</v>
      </c>
    </row>
    <row r="14" spans="1:5" x14ac:dyDescent="0.3">
      <c r="A14" s="3">
        <v>2024</v>
      </c>
      <c r="B14" s="4">
        <v>1760447.371</v>
      </c>
      <c r="C14" s="5"/>
      <c r="D14" s="8">
        <f t="shared" si="0"/>
        <v>8.3992035145893998E-2</v>
      </c>
      <c r="E14" s="8">
        <f t="shared" si="1"/>
        <v>2.0381144692467323E-2</v>
      </c>
    </row>
    <row r="15" spans="1:5" x14ac:dyDescent="0.3">
      <c r="A15" s="6"/>
      <c r="B15" s="6"/>
    </row>
  </sheetData>
  <phoneticPr fontId="4" type="noConversion"/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統計表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SingYu</dc:creator>
  <cp:lastModifiedBy>鮑星瑜</cp:lastModifiedBy>
  <dcterms:created xsi:type="dcterms:W3CDTF">2025-09-05T14:03:00Z</dcterms:created>
  <dcterms:modified xsi:type="dcterms:W3CDTF">2025-10-24T13:07:26Z</dcterms:modified>
</cp:coreProperties>
</file>